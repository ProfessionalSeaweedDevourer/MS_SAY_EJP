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9180" windowHeight="6165"/>
  </bookViews>
  <sheets>
    <sheet name="영화 장르 구하기" sheetId="1" r:id="rId1"/>
    <sheet name="결혼 정보회사 인기도 구하기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/>
  <c r="C19" s="1"/>
  <c r="D17"/>
  <c r="E17"/>
  <c r="C18"/>
  <c r="D18"/>
  <c r="D19" s="1"/>
  <c r="E18"/>
  <c r="E19" s="1"/>
  <c r="H7" i="1"/>
  <c r="H8"/>
  <c r="H9"/>
  <c r="H10"/>
  <c r="H6"/>
  <c r="G7"/>
  <c r="G8"/>
  <c r="G9"/>
  <c r="G10"/>
  <c r="G6"/>
  <c r="I7" l="1"/>
  <c r="J7" s="1"/>
  <c r="I9"/>
  <c r="J9" s="1"/>
  <c r="I10"/>
  <c r="J10" s="1"/>
  <c r="K10" s="1"/>
  <c r="I8"/>
  <c r="J8" s="1"/>
  <c r="I6"/>
  <c r="J6" s="1"/>
  <c r="K6" l="1"/>
  <c r="I6" i="2"/>
  <c r="K7" i="1"/>
  <c r="K9"/>
  <c r="K8"/>
  <c r="J7" i="2"/>
  <c r="H11"/>
  <c r="I12" l="1"/>
  <c r="I7"/>
  <c r="I10"/>
  <c r="M10" s="1"/>
  <c r="I14"/>
  <c r="J9"/>
  <c r="N9" s="1"/>
  <c r="I8"/>
  <c r="J10"/>
  <c r="N10" s="1"/>
  <c r="J14"/>
  <c r="I11"/>
  <c r="M11" s="1"/>
  <c r="I9"/>
  <c r="M9" s="1"/>
  <c r="J8"/>
  <c r="J6"/>
  <c r="N6" s="1"/>
  <c r="M12"/>
  <c r="N7"/>
  <c r="N8"/>
  <c r="J11"/>
  <c r="N11" s="1"/>
  <c r="J12"/>
  <c r="H8"/>
  <c r="H12"/>
  <c r="H7"/>
  <c r="H9"/>
  <c r="H10"/>
  <c r="H14"/>
  <c r="H6"/>
  <c r="M7" l="1"/>
  <c r="N12"/>
  <c r="M6"/>
  <c r="M8"/>
  <c r="L7"/>
  <c r="L11"/>
  <c r="O11" s="1"/>
  <c r="P11" s="1"/>
  <c r="L8"/>
  <c r="L12"/>
  <c r="L9"/>
  <c r="O9" s="1"/>
  <c r="P9" s="1"/>
  <c r="L6"/>
  <c r="O6" s="1"/>
  <c r="P6" s="1"/>
  <c r="L10"/>
  <c r="O10" s="1"/>
  <c r="P10" s="1"/>
  <c r="O7" l="1"/>
  <c r="P7" s="1"/>
  <c r="Q7" s="1"/>
  <c r="O8"/>
  <c r="P8" s="1"/>
  <c r="Q8" s="1"/>
  <c r="O12"/>
  <c r="P12" s="1"/>
  <c r="Q12" s="1"/>
  <c r="Q9" l="1"/>
  <c r="Q10"/>
  <c r="Q11"/>
  <c r="Q6"/>
</calcChain>
</file>

<file path=xl/sharedStrings.xml><?xml version="1.0" encoding="utf-8"?>
<sst xmlns="http://schemas.openxmlformats.org/spreadsheetml/2006/main" count="77" uniqueCount="69">
  <si>
    <t>액션</t>
    <phoneticPr fontId="1" type="noConversion"/>
  </si>
  <si>
    <t>조폭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</si>
  <si>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</si>
  <si>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</si>
  <si>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</si>
  <si>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</si>
  <si>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</si>
  <si>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장르</t>
    <phoneticPr fontId="1" type="noConversion"/>
  </si>
  <si>
    <t>?</t>
    <phoneticPr fontId="1" type="noConversion"/>
  </si>
  <si>
    <t>k = 3이라면 C, E, A</t>
    <phoneticPr fontId="1" type="noConversion"/>
  </si>
  <si>
    <t>C : 조폭</t>
    <phoneticPr fontId="1" type="noConversion"/>
  </si>
  <si>
    <t>E : 액션</t>
    <phoneticPr fontId="1" type="noConversion"/>
  </si>
  <si>
    <t>A : 액션</t>
    <phoneticPr fontId="1" type="noConversion"/>
  </si>
  <si>
    <t>조폭1, 액션2</t>
    <phoneticPr fontId="1" type="noConversion"/>
  </si>
  <si>
    <t>인기많음</t>
  </si>
  <si>
    <t>보통</t>
  </si>
  <si>
    <t>별로</t>
  </si>
  <si>
    <t>아이스크림
정규화</t>
    <phoneticPr fontId="1" type="noConversion"/>
  </si>
  <si>
    <t>게임
정규화</t>
    <phoneticPr fontId="1" type="noConversion"/>
  </si>
  <si>
    <t>비행기
정규화</t>
    <phoneticPr fontId="1" type="noConversion"/>
  </si>
  <si>
    <t>영화</t>
    <phoneticPr fontId="1" type="noConversion"/>
  </si>
  <si>
    <t>GH열
제곱의 합</t>
    <phoneticPr fontId="1" type="noConversion"/>
  </si>
  <si>
    <t>I열
양의 제곱근</t>
    <phoneticPr fontId="1" type="noConversion"/>
  </si>
  <si>
    <t>Z</t>
    <phoneticPr fontId="1" type="noConversion"/>
  </si>
  <si>
    <t>Z격투
-
C열</t>
    <phoneticPr fontId="1" type="noConversion"/>
  </si>
  <si>
    <t>Z욕
-
D열</t>
    <phoneticPr fontId="1" type="noConversion"/>
  </si>
  <si>
    <t>Z와
가까운 순위</t>
    <phoneticPr fontId="1" type="noConversion"/>
  </si>
  <si>
    <t>LMN열
제곱의 합</t>
    <phoneticPr fontId="1" type="noConversion"/>
  </si>
  <si>
    <t>O열의
양의 제곱근</t>
    <phoneticPr fontId="1" type="noConversion"/>
  </si>
  <si>
    <t>Z와
가까운
순위</t>
    <phoneticPr fontId="1" type="noConversion"/>
  </si>
  <si>
    <t>Z비행기
-
H열</t>
    <phoneticPr fontId="1" type="noConversion"/>
  </si>
  <si>
    <t>Z게임
-
I열</t>
    <phoneticPr fontId="1" type="noConversion"/>
  </si>
  <si>
    <t>Z아이스
-
J열</t>
    <phoneticPr fontId="1" type="noConversion"/>
  </si>
  <si>
    <r>
      <t xml:space="preserve">다수결로 처리 =&gt; </t>
    </r>
    <r>
      <rPr>
        <sz val="11"/>
        <color rgb="FFFF0000"/>
        <rFont val="맑은 고딕"/>
        <family val="3"/>
        <charset val="129"/>
        <scheme val="minor"/>
      </rPr>
      <t>Z는 액션</t>
    </r>
    <phoneticPr fontId="1" type="noConversion"/>
  </si>
  <si>
    <t>격투씬</t>
    <phoneticPr fontId="1" type="noConversion"/>
  </si>
  <si>
    <t>욕씬</t>
    <phoneticPr fontId="1" type="noConversion"/>
  </si>
  <si>
    <t>사람</t>
    <phoneticPr fontId="1" type="noConversion"/>
  </si>
  <si>
    <t>비행기
마일리지</t>
    <phoneticPr fontId="1" type="noConversion"/>
  </si>
  <si>
    <t>하루 중 
게임 시간
비율</t>
    <phoneticPr fontId="1" type="noConversion"/>
  </si>
  <si>
    <t>하루동안
아이스크림
먹는 양</t>
    <phoneticPr fontId="1" type="noConversion"/>
  </si>
  <si>
    <t>인기도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</si>
  <si>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</si>
  <si>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</si>
  <si>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</si>
  <si>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</si>
  <si>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</si>
  <si>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</si>
  <si>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</si>
  <si>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Z</t>
    <phoneticPr fontId="1" type="noConversion"/>
  </si>
  <si>
    <t>?</t>
    <phoneticPr fontId="1" type="noConversion"/>
  </si>
  <si>
    <t>정규화용 데이터</t>
    <phoneticPr fontId="1" type="noConversion"/>
  </si>
  <si>
    <t>k=5라면 F, D, A, G, E</t>
    <phoneticPr fontId="1" type="noConversion"/>
  </si>
  <si>
    <t>F=별로</t>
    <phoneticPr fontId="1" type="noConversion"/>
  </si>
  <si>
    <t>D=별로</t>
    <phoneticPr fontId="1" type="noConversion"/>
  </si>
  <si>
    <t>A=인기많음</t>
    <phoneticPr fontId="1" type="noConversion"/>
  </si>
  <si>
    <t>G=인기많음</t>
    <phoneticPr fontId="1" type="noConversion"/>
  </si>
  <si>
    <t>E=별로</t>
    <phoneticPr fontId="1" type="noConversion"/>
  </si>
  <si>
    <t>별로=3, 인기많음=2</t>
    <phoneticPr fontId="1" type="noConversion"/>
  </si>
  <si>
    <t>최소</t>
    <phoneticPr fontId="1" type="noConversion"/>
  </si>
  <si>
    <t>최대</t>
    <phoneticPr fontId="1" type="noConversion"/>
  </si>
  <si>
    <t>최대-최소</t>
    <phoneticPr fontId="1" type="noConversion"/>
  </si>
  <si>
    <t>영화 장르 구하기</t>
    <phoneticPr fontId="1" type="noConversion"/>
  </si>
  <si>
    <t>결혼 정보회사 인기도 구하기</t>
    <phoneticPr fontId="1" type="noConversion"/>
  </si>
  <si>
    <r>
      <t xml:space="preserve">Z는 </t>
    </r>
    <r>
      <rPr>
        <sz val="11"/>
        <color rgb="FFFF0000"/>
        <rFont val="맑은 고딕"/>
        <family val="3"/>
        <charset val="129"/>
        <scheme val="minor"/>
      </rPr>
      <t>별로</t>
    </r>
    <phoneticPr fontId="1" type="noConversion"/>
  </si>
  <si>
    <t>Z와 가장 가까운 점 k개 추출</t>
    <phoneticPr fontId="1" type="noConversion"/>
  </si>
  <si>
    <t>영화</t>
    <phoneticPr fontId="1" type="noConversion"/>
  </si>
  <si>
    <t>계산</t>
    <phoneticPr fontId="1" type="noConversion"/>
  </si>
  <si>
    <t>인기도</t>
    <phoneticPr fontId="1" type="noConversion"/>
  </si>
  <si>
    <t>정규화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</si>
</sst>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0_ 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  <xf numFmtId="177" fontId="3" fillId="0" borderId="0" xfId="0" applyNumberFormat="1" applyFont="1">
      <alignment vertical="center"/>
    </xf>
    <xf numFmtId="177" fontId="3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>
      <alignment vertical="center"/>
    </xf>
    <xf numFmtId="176" fontId="3" fillId="0" borderId="0" xfId="0" applyNumberFormat="1" applyFont="1" applyFill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177" fontId="3" fillId="0" borderId="0" xfId="0" applyNumberFormat="1" applyFont="1" applyBorder="1">
      <alignment vertical="center"/>
    </xf>
    <xf numFmtId="0" fontId="3" fillId="3" borderId="0" xfId="0" applyFont="1" applyFill="1" applyBorder="1">
      <alignment vertical="center"/>
    </xf>
    <xf numFmtId="177" fontId="3" fillId="3" borderId="0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177" fontId="3" fillId="3" borderId="8" xfId="0" applyNumberFormat="1" applyFont="1" applyFill="1" applyBorder="1">
      <alignment vertical="center"/>
    </xf>
    <xf numFmtId="177" fontId="3" fillId="0" borderId="8" xfId="0" applyNumberFormat="1" applyFont="1" applyBorder="1">
      <alignment vertical="center"/>
    </xf>
    <xf numFmtId="0" fontId="6" fillId="2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177" fontId="3" fillId="3" borderId="10" xfId="0" applyNumberFormat="1" applyFont="1" applyFill="1" applyBorder="1">
      <alignment vertical="center"/>
    </xf>
    <xf numFmtId="177" fontId="3" fillId="3" borderId="11" xfId="0" applyNumberFormat="1" applyFont="1" applyFill="1" applyBorder="1">
      <alignment vertical="center"/>
    </xf>
  </cellXfs>
  <cellStyles count="1">
    <cellStyle name="표준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theme="4" tint="0.79998168889431442"/>
          <bgColor indexed="65"/>
        </patternFill>
      </fill>
      <alignment vertical="top" textRotation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theme="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bgColor indexed="65"/>
        </patternFill>
      </fill>
      <alignment vertical="top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bgColor indexed="65"/>
        </patternFill>
      </fill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vertical="top" textRotation="0" indent="0" relativeIndent="0" justifyLastLine="0" shrinkToFit="0" mergeCell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1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1" displayName="표1" ref="B5:E12" totalsRowShown="0" headerRowDxfId="34" dataDxfId="33">
  <autoFilter ref="B5:E12"/>
  <tableColumns count="4">
    <tableColumn id="1" name="영화" dataDxfId="32"/>
    <tableColumn id="2" name="격투씬" dataDxfId="31"/>
    <tableColumn id="3" name="욕씬" dataDxfId="30"/>
    <tableColumn id="4" name="장르" dataDxfId="2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표3" displayName="표3" ref="G5:K10" totalsRowShown="0" headerRowDxfId="28" dataDxfId="26" headerRowBorderDxfId="27" tableBorderDxfId="25">
  <autoFilter ref="G5:K10"/>
  <tableColumns count="5">
    <tableColumn id="1" name="Z격투&#10;-&#10;C열" dataDxfId="24">
      <calculatedColumnFormula>$C$12-표1[[#This Row],[격투씬]]</calculatedColumnFormula>
    </tableColumn>
    <tableColumn id="2" name="Z욕&#10;-&#10;D열" dataDxfId="23">
      <calculatedColumnFormula>$D$12-표1[[#This Row],[욕씬]]</calculatedColumnFormula>
    </tableColumn>
    <tableColumn id="3" name="GH열&#10;제곱의 합" dataDxfId="22"/>
    <tableColumn id="4" name="I열&#10;양의 제곱근" dataDxfId="21"/>
    <tableColumn id="5" name="Z와&#10;가까운 순위" dataDxfId="2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표2" displayName="표2" ref="B5:F14" totalsRowShown="0" headerRowDxfId="19" dataDxfId="18">
  <autoFilter ref="B5:F14"/>
  <tableColumns count="5">
    <tableColumn id="1" name="사람" dataDxfId="17"/>
    <tableColumn id="2" name="비행기&#10;마일리지" dataDxfId="16"/>
    <tableColumn id="3" name="하루 중 &#10;게임 시간&#10;비율" dataDxfId="15"/>
    <tableColumn id="4" name="하루동안&#10;아이스크림&#10;먹는 양" dataDxfId="14"/>
    <tableColumn id="5" name="인기도" dataDxfId="1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표4" displayName="표4" ref="H5:J14" totalsRowShown="0" headerRowDxfId="12" dataDxfId="11">
  <autoFilter ref="H5:J14"/>
  <tableColumns count="3">
    <tableColumn id="1" name="비행기&#10;정규화" dataDxfId="10">
      <calculatedColumnFormula>(C6-C$17)/C$19</calculatedColumnFormula>
    </tableColumn>
    <tableColumn id="2" name="게임&#10;정규화" dataDxfId="9">
      <calculatedColumnFormula>(D6-D$17)/D$19</calculatedColumnFormula>
    </tableColumn>
    <tableColumn id="3" name="아이스크림&#10;정규화" dataDxfId="8">
      <calculatedColumnFormula>(E6-E$17)/E$19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표5" displayName="표5" ref="L5:Q12" totalsRowShown="0" headerRowDxfId="7" dataDxfId="6">
  <autoFilter ref="L5:Q12"/>
  <tableColumns count="6">
    <tableColumn id="1" name="Z비행기&#10;-&#10;H열" dataDxfId="5">
      <calculatedColumnFormula>H$14-H6</calculatedColumnFormula>
    </tableColumn>
    <tableColumn id="2" name="Z게임&#10;-&#10;I열" dataDxfId="4">
      <calculatedColumnFormula>I$14-I6</calculatedColumnFormula>
    </tableColumn>
    <tableColumn id="3" name="Z아이스&#10;-&#10;J열" dataDxfId="3">
      <calculatedColumnFormula>J$14-J6</calculatedColumnFormula>
    </tableColumn>
    <tableColumn id="4" name="LMN열&#10;제곱의 합" dataDxfId="2">
      <calculatedColumnFormula>L6^2+M6^2+N6^2</calculatedColumnFormula>
    </tableColumn>
    <tableColumn id="5" name="O열의&#10;양의 제곱근" dataDxfId="1">
      <calculatedColumnFormula>SQRT(O6)</calculatedColumnFormula>
    </tableColumn>
    <tableColumn id="6" name="Z와&#10;가까운&#10;순위" dataDxfId="0">
      <calculatedColumnFormula>RANK(P6,$P$6:$P$12, 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20"/>
  <sheetViews>
    <sheetView showGridLines="0" tabSelected="1" workbookViewId="0">
      <selection activeCell="H11" sqref="H11"/>
    </sheetView>
  </sheetViews>
  <sheetFormatPr defaultRowHeight="16.5"/>
  <cols>
    <col min="1" max="1" width="2.375" style="1" customWidth="1"/>
    <col min="2" max="3" width="9.5" style="1" bestFit="1" customWidth="1"/>
    <col min="4" max="4" width="7.625" style="1" bestFit="1" customWidth="1"/>
    <col min="5" max="5" width="9.5" style="1" bestFit="1" customWidth="1"/>
    <col min="6" max="6" width="5.625" style="1" customWidth="1"/>
    <col min="7" max="7" width="10.625" style="1" bestFit="1" customWidth="1"/>
    <col min="8" max="8" width="9" style="1" bestFit="1" customWidth="1"/>
    <col min="9" max="9" width="13.875" style="1" bestFit="1" customWidth="1"/>
    <col min="10" max="11" width="15.875" style="1" bestFit="1" customWidth="1"/>
    <col min="12" max="16384" width="9" style="1"/>
  </cols>
  <sheetData>
    <row r="2" spans="2:11" ht="20.25">
      <c r="B2" s="19" t="s">
        <v>61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0.5" customHeight="1">
      <c r="B3" s="16"/>
      <c r="C3" s="17"/>
      <c r="D3" s="17"/>
      <c r="E3" s="17"/>
      <c r="F3" s="17"/>
      <c r="G3" s="17"/>
      <c r="H3" s="17"/>
      <c r="I3" s="17"/>
      <c r="J3" s="17"/>
      <c r="K3" s="17"/>
    </row>
    <row r="4" spans="2:11" ht="16.5" customHeight="1">
      <c r="B4" s="21" t="s">
        <v>65</v>
      </c>
      <c r="C4" s="22"/>
      <c r="D4" s="22"/>
      <c r="E4" s="23"/>
      <c r="F4" s="17"/>
      <c r="G4" s="24" t="s">
        <v>66</v>
      </c>
      <c r="H4" s="25"/>
      <c r="I4" s="25"/>
      <c r="J4" s="25"/>
      <c r="K4" s="26"/>
    </row>
    <row r="5" spans="2:11" ht="49.5">
      <c r="B5" s="10" t="s">
        <v>20</v>
      </c>
      <c r="C5" s="10" t="s">
        <v>34</v>
      </c>
      <c r="D5" s="10" t="s">
        <v>35</v>
      </c>
      <c r="E5" s="10" t="s">
        <v>7</v>
      </c>
      <c r="F5" s="11"/>
      <c r="G5" s="7" t="s">
        <v>24</v>
      </c>
      <c r="H5" s="7" t="s">
        <v>25</v>
      </c>
      <c r="I5" s="7" t="s">
        <v>21</v>
      </c>
      <c r="J5" s="7" t="s">
        <v>22</v>
      </c>
      <c r="K5" s="7" t="s">
        <v>26</v>
      </c>
    </row>
    <row r="6" spans="2:11">
      <c r="B6" s="11" t="s">
        <v>2</v>
      </c>
      <c r="C6" s="11">
        <v>80</v>
      </c>
      <c r="D6" s="11">
        <v>20</v>
      </c>
      <c r="E6" s="12" t="s">
        <v>0</v>
      </c>
      <c r="F6" s="11"/>
      <c r="G6" s="2">
        <f>$C$12-표1[[#This Row],[격투씬]]</f>
        <v>-50</v>
      </c>
      <c r="H6" s="2">
        <f>$D$12-표1[[#This Row],[욕씬]]</f>
        <v>30</v>
      </c>
      <c r="I6" s="2">
        <f>G6^2+H6^2</f>
        <v>3400</v>
      </c>
      <c r="J6" s="4">
        <f>SQRT(I6)</f>
        <v>58.309518948453004</v>
      </c>
      <c r="K6" s="2">
        <f>RANK(J6,$J$6:$J$10,1)</f>
        <v>3</v>
      </c>
    </row>
    <row r="7" spans="2:11">
      <c r="B7" s="11" t="s">
        <v>3</v>
      </c>
      <c r="C7" s="11">
        <v>95</v>
      </c>
      <c r="D7" s="11">
        <v>5</v>
      </c>
      <c r="E7" s="12" t="s">
        <v>0</v>
      </c>
      <c r="F7" s="11"/>
      <c r="G7" s="2">
        <f>$C$12-표1[[#This Row],[격투씬]]</f>
        <v>-65</v>
      </c>
      <c r="H7" s="2">
        <f>$D$12-표1[[#This Row],[욕씬]]</f>
        <v>45</v>
      </c>
      <c r="I7" s="2">
        <f t="shared" ref="I7:I10" si="0">G7^2+H7^2</f>
        <v>6250</v>
      </c>
      <c r="J7" s="4">
        <f t="shared" ref="J7:J10" si="1">SQRT(I7)</f>
        <v>79.05694150420949</v>
      </c>
      <c r="K7" s="2">
        <f t="shared" ref="K7:K10" si="2">RANK(J7,$J$6:$J$10,1)</f>
        <v>5</v>
      </c>
    </row>
    <row r="8" spans="2:11">
      <c r="B8" s="11" t="s">
        <v>4</v>
      </c>
      <c r="C8" s="11">
        <v>10</v>
      </c>
      <c r="D8" s="11">
        <v>90</v>
      </c>
      <c r="E8" s="12" t="s">
        <v>1</v>
      </c>
      <c r="F8" s="11"/>
      <c r="G8" s="2">
        <f>$C$12-표1[[#This Row],[격투씬]]</f>
        <v>20</v>
      </c>
      <c r="H8" s="2">
        <f>$D$12-표1[[#This Row],[욕씬]]</f>
        <v>-40</v>
      </c>
      <c r="I8" s="2">
        <f t="shared" si="0"/>
        <v>2000</v>
      </c>
      <c r="J8" s="4">
        <f t="shared" si="1"/>
        <v>44.721359549995796</v>
      </c>
      <c r="K8" s="2">
        <f t="shared" si="2"/>
        <v>1</v>
      </c>
    </row>
    <row r="9" spans="2:11">
      <c r="B9" s="11" t="s">
        <v>5</v>
      </c>
      <c r="C9" s="11">
        <v>90</v>
      </c>
      <c r="D9" s="11">
        <v>10</v>
      </c>
      <c r="E9" s="12" t="s">
        <v>1</v>
      </c>
      <c r="F9" s="11"/>
      <c r="G9" s="2">
        <f>$C$12-표1[[#This Row],[격투씬]]</f>
        <v>-60</v>
      </c>
      <c r="H9" s="2">
        <f>$D$12-표1[[#This Row],[욕씬]]</f>
        <v>40</v>
      </c>
      <c r="I9" s="2">
        <f t="shared" si="0"/>
        <v>5200</v>
      </c>
      <c r="J9" s="4">
        <f t="shared" si="1"/>
        <v>72.111025509279784</v>
      </c>
      <c r="K9" s="2">
        <f t="shared" si="2"/>
        <v>4</v>
      </c>
    </row>
    <row r="10" spans="2:11">
      <c r="B10" s="11" t="s">
        <v>6</v>
      </c>
      <c r="C10" s="11">
        <v>5</v>
      </c>
      <c r="D10" s="11">
        <v>95</v>
      </c>
      <c r="E10" s="12" t="s">
        <v>0</v>
      </c>
      <c r="F10" s="11"/>
      <c r="G10" s="2">
        <f>$C$12-표1[[#This Row],[격투씬]]</f>
        <v>25</v>
      </c>
      <c r="H10" s="2">
        <f>$D$12-표1[[#This Row],[욕씬]]</f>
        <v>-45</v>
      </c>
      <c r="I10" s="2">
        <f t="shared" si="0"/>
        <v>2650</v>
      </c>
      <c r="J10" s="4">
        <f t="shared" si="1"/>
        <v>51.478150704935004</v>
      </c>
      <c r="K10" s="2">
        <f t="shared" si="2"/>
        <v>2</v>
      </c>
    </row>
    <row r="11" spans="2:11">
      <c r="B11" s="11"/>
      <c r="C11" s="11"/>
      <c r="D11" s="11"/>
      <c r="E11" s="12"/>
      <c r="F11" s="11"/>
      <c r="G11" s="11"/>
      <c r="H11" s="11"/>
      <c r="I11" s="11"/>
      <c r="J11" s="11"/>
      <c r="K11" s="11"/>
    </row>
    <row r="12" spans="2:11">
      <c r="B12" s="11" t="s">
        <v>23</v>
      </c>
      <c r="C12" s="11">
        <v>30</v>
      </c>
      <c r="D12" s="11">
        <v>50</v>
      </c>
      <c r="E12" s="12" t="s">
        <v>8</v>
      </c>
      <c r="F12" s="11"/>
      <c r="G12" s="11"/>
      <c r="H12" s="11"/>
      <c r="I12" s="11"/>
      <c r="J12" s="11"/>
      <c r="K12" s="11"/>
    </row>
    <row r="14" spans="2:11">
      <c r="B14" s="1" t="s">
        <v>64</v>
      </c>
    </row>
    <row r="15" spans="2:11">
      <c r="B15" s="1" t="s">
        <v>9</v>
      </c>
    </row>
    <row r="16" spans="2:11">
      <c r="B16" s="1" t="s">
        <v>10</v>
      </c>
    </row>
    <row r="17" spans="2:2">
      <c r="B17" s="1" t="s">
        <v>11</v>
      </c>
    </row>
    <row r="18" spans="2:2">
      <c r="B18" s="1" t="s">
        <v>12</v>
      </c>
    </row>
    <row r="19" spans="2:2">
      <c r="B19" s="1" t="s">
        <v>13</v>
      </c>
    </row>
    <row r="20" spans="2:2">
      <c r="B20" s="1" t="s">
        <v>33</v>
      </c>
    </row>
  </sheetData>
  <mergeCells count="3">
    <mergeCell ref="B2:K2"/>
    <mergeCell ref="B4:E4"/>
    <mergeCell ref="G4:K4"/>
  </mergeCells>
  <phoneticPr fontId="1" type="noConversion"/>
  <pageMargins left="0.7" right="0.7" top="0.75" bottom="0.75" header="0.3" footer="0.3"/>
  <pageSetup paperSize="9" orientation="portrait" horizontalDpi="4294967292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2:Q28"/>
  <sheetViews>
    <sheetView showGridLines="0" workbookViewId="0">
      <selection activeCell="H25" sqref="H25"/>
    </sheetView>
  </sheetViews>
  <sheetFormatPr defaultRowHeight="16.5"/>
  <cols>
    <col min="1" max="1" width="2.625" style="1" customWidth="1"/>
    <col min="2" max="2" width="9.75" style="1" customWidth="1"/>
    <col min="3" max="3" width="12" style="1" bestFit="1" customWidth="1"/>
    <col min="4" max="4" width="12.625" style="1" bestFit="1" customWidth="1"/>
    <col min="5" max="5" width="13.625" style="1" bestFit="1" customWidth="1"/>
    <col min="6" max="6" width="10.375" style="1" bestFit="1" customWidth="1"/>
    <col min="7" max="7" width="5.625" style="1" customWidth="1"/>
    <col min="8" max="9" width="11.25" style="1" bestFit="1" customWidth="1"/>
    <col min="10" max="10" width="13.625" style="1" bestFit="1" customWidth="1"/>
    <col min="11" max="11" width="5.625" style="1" customWidth="1"/>
    <col min="12" max="12" width="12.5" style="1" bestFit="1" customWidth="1"/>
    <col min="13" max="13" width="10.625" style="1" bestFit="1" customWidth="1"/>
    <col min="14" max="14" width="12.5" style="1" bestFit="1" customWidth="1"/>
    <col min="15" max="16" width="13.875" style="1" bestFit="1" customWidth="1"/>
    <col min="17" max="17" width="11.375" style="1" bestFit="1" customWidth="1"/>
    <col min="18" max="16384" width="9" style="1"/>
  </cols>
  <sheetData>
    <row r="2" spans="2:17" ht="20.25">
      <c r="B2" s="20" t="s">
        <v>62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2:17" ht="10.5" customHeigh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>
      <c r="B4" s="24" t="s">
        <v>67</v>
      </c>
      <c r="C4" s="25"/>
      <c r="D4" s="25"/>
      <c r="E4" s="25"/>
      <c r="F4" s="26"/>
      <c r="G4" s="18"/>
      <c r="H4" s="24" t="s">
        <v>68</v>
      </c>
      <c r="I4" s="25"/>
      <c r="J4" s="26"/>
      <c r="K4" s="18"/>
      <c r="L4" s="24" t="s">
        <v>66</v>
      </c>
      <c r="M4" s="25"/>
      <c r="N4" s="25"/>
      <c r="O4" s="25"/>
      <c r="P4" s="25"/>
      <c r="Q4" s="26"/>
    </row>
    <row r="5" spans="2:17" ht="49.5">
      <c r="B5" s="5" t="s">
        <v>36</v>
      </c>
      <c r="C5" s="6" t="s">
        <v>37</v>
      </c>
      <c r="D5" s="6" t="s">
        <v>38</v>
      </c>
      <c r="E5" s="6" t="s">
        <v>39</v>
      </c>
      <c r="F5" s="5" t="s">
        <v>40</v>
      </c>
      <c r="G5" s="2"/>
      <c r="H5" s="7" t="s">
        <v>19</v>
      </c>
      <c r="I5" s="7" t="s">
        <v>18</v>
      </c>
      <c r="J5" s="7" t="s">
        <v>17</v>
      </c>
      <c r="K5" s="2"/>
      <c r="L5" s="7" t="s">
        <v>30</v>
      </c>
      <c r="M5" s="7" t="s">
        <v>31</v>
      </c>
      <c r="N5" s="7" t="s">
        <v>32</v>
      </c>
      <c r="O5" s="7" t="s">
        <v>27</v>
      </c>
      <c r="P5" s="7" t="s">
        <v>28</v>
      </c>
      <c r="Q5" s="7" t="s">
        <v>29</v>
      </c>
    </row>
    <row r="6" spans="2:17">
      <c r="B6" s="2" t="s">
        <v>41</v>
      </c>
      <c r="C6" s="2">
        <v>40920</v>
      </c>
      <c r="D6" s="4">
        <v>8.3269760000000002</v>
      </c>
      <c r="E6" s="4">
        <v>0.95395200000000002</v>
      </c>
      <c r="F6" s="8" t="s">
        <v>14</v>
      </c>
      <c r="G6" s="2"/>
      <c r="H6" s="4">
        <f t="shared" ref="H6:J12" si="0">(C6-C$17)/C$19</f>
        <v>0.4358264081255771</v>
      </c>
      <c r="I6" s="4">
        <f t="shared" si="0"/>
        <v>0.58819285562891988</v>
      </c>
      <c r="J6" s="4">
        <f t="shared" si="0"/>
        <v>0.53237967066941716</v>
      </c>
      <c r="K6" s="2"/>
      <c r="L6" s="9">
        <f t="shared" ref="L6:N12" si="1">H$14-H6</f>
        <v>0.80925999208547683</v>
      </c>
      <c r="M6" s="9">
        <f t="shared" si="1"/>
        <v>0.14292603585504038</v>
      </c>
      <c r="N6" s="9">
        <f t="shared" si="1"/>
        <v>2.9908911878867794E-2</v>
      </c>
      <c r="O6" s="9">
        <f>L6^2+M6^2+N6^2</f>
        <v>0.67622412952520017</v>
      </c>
      <c r="P6" s="9">
        <f>SQRT(O6)</f>
        <v>0.82232848030771755</v>
      </c>
      <c r="Q6" s="2">
        <f t="shared" ref="Q6:Q12" si="2">RANK(P6,$P$6:$P$12, 1)</f>
        <v>3</v>
      </c>
    </row>
    <row r="7" spans="2:17">
      <c r="B7" s="2" t="s">
        <v>42</v>
      </c>
      <c r="C7" s="2">
        <v>14488</v>
      </c>
      <c r="D7" s="4">
        <v>7.1534690000000003</v>
      </c>
      <c r="E7" s="4">
        <v>1.6739040000000001</v>
      </c>
      <c r="F7" s="8" t="s">
        <v>15</v>
      </c>
      <c r="G7" s="2"/>
      <c r="H7" s="4">
        <f t="shared" si="0"/>
        <v>0</v>
      </c>
      <c r="I7" s="4">
        <f t="shared" si="0"/>
        <v>0.48794043632223871</v>
      </c>
      <c r="J7" s="4">
        <f t="shared" si="0"/>
        <v>1</v>
      </c>
      <c r="K7" s="2"/>
      <c r="L7" s="9">
        <f t="shared" si="1"/>
        <v>1.245086400211054</v>
      </c>
      <c r="M7" s="9">
        <f t="shared" si="1"/>
        <v>0.24317845516172154</v>
      </c>
      <c r="N7" s="9">
        <f t="shared" si="1"/>
        <v>-0.43771141745171505</v>
      </c>
      <c r="O7" s="9">
        <f t="shared" ref="O7:O12" si="3">L7^2+M7^2+N7^2</f>
        <v>1.8009671900129518</v>
      </c>
      <c r="P7" s="9">
        <f t="shared" ref="P7:P12" si="4">SQRT(O7)</f>
        <v>1.3420011885288894</v>
      </c>
      <c r="Q7" s="2">
        <f t="shared" si="2"/>
        <v>7</v>
      </c>
    </row>
    <row r="8" spans="2:17">
      <c r="B8" s="2" t="s">
        <v>43</v>
      </c>
      <c r="C8" s="2">
        <v>26052</v>
      </c>
      <c r="D8" s="4">
        <v>1.4418709999999999</v>
      </c>
      <c r="E8" s="4">
        <v>0.80512399999999995</v>
      </c>
      <c r="F8" s="8" t="s">
        <v>16</v>
      </c>
      <c r="G8" s="2"/>
      <c r="H8" s="4">
        <f t="shared" si="0"/>
        <v>0.19067405355493999</v>
      </c>
      <c r="I8" s="4">
        <f t="shared" si="0"/>
        <v>0</v>
      </c>
      <c r="J8" s="4">
        <f t="shared" si="0"/>
        <v>0.43571350629510885</v>
      </c>
      <c r="K8" s="2"/>
      <c r="L8" s="9">
        <f t="shared" si="1"/>
        <v>1.0544123466561139</v>
      </c>
      <c r="M8" s="9">
        <f t="shared" si="1"/>
        <v>0.73111889148396025</v>
      </c>
      <c r="N8" s="9">
        <f t="shared" si="1"/>
        <v>0.1265750762531761</v>
      </c>
      <c r="O8" s="9">
        <f t="shared" si="3"/>
        <v>1.6623414801940852</v>
      </c>
      <c r="P8" s="9">
        <f t="shared" si="4"/>
        <v>1.2893182230132658</v>
      </c>
      <c r="Q8" s="2">
        <f t="shared" si="2"/>
        <v>6</v>
      </c>
    </row>
    <row r="9" spans="2:17">
      <c r="B9" s="2" t="s">
        <v>44</v>
      </c>
      <c r="C9" s="2">
        <v>75136</v>
      </c>
      <c r="D9" s="4">
        <v>13.147394</v>
      </c>
      <c r="E9" s="4">
        <v>0.42896400000000001</v>
      </c>
      <c r="F9" s="8" t="s">
        <v>16</v>
      </c>
      <c r="G9" s="2"/>
      <c r="H9" s="4">
        <f t="shared" si="0"/>
        <v>1</v>
      </c>
      <c r="I9" s="4">
        <f t="shared" si="0"/>
        <v>1</v>
      </c>
      <c r="J9" s="4">
        <f t="shared" si="0"/>
        <v>0.19139157499831128</v>
      </c>
      <c r="K9" s="2"/>
      <c r="L9" s="9">
        <f t="shared" si="1"/>
        <v>0.24508640021105399</v>
      </c>
      <c r="M9" s="9">
        <f t="shared" si="1"/>
        <v>-0.26888110851603975</v>
      </c>
      <c r="N9" s="9">
        <f t="shared" si="1"/>
        <v>0.37089700754997368</v>
      </c>
      <c r="O9" s="9">
        <f t="shared" si="3"/>
        <v>0.26992898429475254</v>
      </c>
      <c r="P9" s="9">
        <f t="shared" si="4"/>
        <v>0.51954690288245631</v>
      </c>
      <c r="Q9" s="2">
        <f t="shared" si="2"/>
        <v>2</v>
      </c>
    </row>
    <row r="10" spans="2:17">
      <c r="B10" s="2" t="s">
        <v>45</v>
      </c>
      <c r="C10" s="2">
        <v>38344</v>
      </c>
      <c r="D10" s="4">
        <v>1.669788</v>
      </c>
      <c r="E10" s="4">
        <v>0.134296</v>
      </c>
      <c r="F10" s="8" t="s">
        <v>16</v>
      </c>
      <c r="G10" s="2"/>
      <c r="H10" s="4">
        <f t="shared" si="0"/>
        <v>0.39335180055401664</v>
      </c>
      <c r="I10" s="4">
        <f t="shared" si="0"/>
        <v>1.9470894209511199E-2</v>
      </c>
      <c r="J10" s="4">
        <f t="shared" si="0"/>
        <v>0</v>
      </c>
      <c r="K10" s="2"/>
      <c r="L10" s="9">
        <f t="shared" si="1"/>
        <v>0.85173459965703735</v>
      </c>
      <c r="M10" s="9">
        <f t="shared" si="1"/>
        <v>0.71164799727444905</v>
      </c>
      <c r="N10" s="9">
        <f t="shared" si="1"/>
        <v>0.56228858254828495</v>
      </c>
      <c r="O10" s="9">
        <f t="shared" si="3"/>
        <v>1.5480631503418274</v>
      </c>
      <c r="P10" s="9">
        <f t="shared" si="4"/>
        <v>1.2442118591067308</v>
      </c>
      <c r="Q10" s="2">
        <f t="shared" si="2"/>
        <v>5</v>
      </c>
    </row>
    <row r="11" spans="2:17">
      <c r="B11" s="2" t="s">
        <v>46</v>
      </c>
      <c r="C11" s="2">
        <v>72993</v>
      </c>
      <c r="D11" s="4">
        <v>10.14174</v>
      </c>
      <c r="E11" s="4">
        <v>1.0329550000000001</v>
      </c>
      <c r="F11" s="8" t="s">
        <v>16</v>
      </c>
      <c r="G11" s="2"/>
      <c r="H11" s="4">
        <f t="shared" si="0"/>
        <v>0.96466495185331746</v>
      </c>
      <c r="I11" s="4">
        <f t="shared" si="0"/>
        <v>0.74322770541734873</v>
      </c>
      <c r="J11" s="4">
        <f t="shared" si="0"/>
        <v>0.58369338169196316</v>
      </c>
      <c r="K11" s="2"/>
      <c r="L11" s="9">
        <f t="shared" si="1"/>
        <v>0.28042144835773652</v>
      </c>
      <c r="M11" s="9">
        <f t="shared" si="1"/>
        <v>-1.2108813933388474E-2</v>
      </c>
      <c r="N11" s="9">
        <f t="shared" si="1"/>
        <v>-2.140479914367821E-2</v>
      </c>
      <c r="O11" s="9">
        <f t="shared" si="3"/>
        <v>7.9240977500305315E-2</v>
      </c>
      <c r="P11" s="9">
        <f t="shared" si="4"/>
        <v>0.28149773977832454</v>
      </c>
      <c r="Q11" s="2">
        <f t="shared" si="2"/>
        <v>1</v>
      </c>
    </row>
    <row r="12" spans="2:17">
      <c r="B12" s="2" t="s">
        <v>47</v>
      </c>
      <c r="C12" s="2">
        <v>35948</v>
      </c>
      <c r="D12" s="4">
        <v>6.8307919999999998</v>
      </c>
      <c r="E12" s="4">
        <v>1.213192</v>
      </c>
      <c r="F12" s="8" t="s">
        <v>14</v>
      </c>
      <c r="G12" s="2"/>
      <c r="H12" s="4">
        <f t="shared" si="0"/>
        <v>0.3538451391636987</v>
      </c>
      <c r="I12" s="4">
        <f t="shared" si="0"/>
        <v>0.46037421822160363</v>
      </c>
      <c r="J12" s="4">
        <f t="shared" si="0"/>
        <v>0.70076019350380103</v>
      </c>
      <c r="K12" s="2"/>
      <c r="L12" s="9">
        <f t="shared" si="1"/>
        <v>0.89124126104735524</v>
      </c>
      <c r="M12" s="9">
        <f t="shared" si="1"/>
        <v>0.27074467326235663</v>
      </c>
      <c r="N12" s="9">
        <f t="shared" si="1"/>
        <v>-0.13847161095551608</v>
      </c>
      <c r="O12" s="9">
        <f t="shared" si="3"/>
        <v>0.88678805053383614</v>
      </c>
      <c r="P12" s="9">
        <f t="shared" si="4"/>
        <v>0.94169424471737961</v>
      </c>
      <c r="Q12" s="2">
        <f t="shared" si="2"/>
        <v>4</v>
      </c>
    </row>
    <row r="13" spans="2:17">
      <c r="B13" s="2"/>
      <c r="C13" s="2"/>
      <c r="D13" s="2"/>
      <c r="E13" s="2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 t="s">
        <v>48</v>
      </c>
      <c r="C14" s="2">
        <v>90000</v>
      </c>
      <c r="D14" s="2">
        <v>10</v>
      </c>
      <c r="E14" s="2">
        <v>1</v>
      </c>
      <c r="F14" s="8" t="s">
        <v>49</v>
      </c>
      <c r="G14" s="2"/>
      <c r="H14" s="4">
        <f>(C14-C$17)/C$19</f>
        <v>1.245086400211054</v>
      </c>
      <c r="I14" s="4">
        <f>(D14-D$17)/D$19</f>
        <v>0.73111889148396025</v>
      </c>
      <c r="J14" s="4">
        <f>(E14-E$17)/E$19</f>
        <v>0.56228858254828495</v>
      </c>
      <c r="K14" s="2"/>
      <c r="L14" s="2"/>
      <c r="M14" s="2"/>
      <c r="N14" s="2"/>
      <c r="O14" s="2"/>
      <c r="P14" s="2"/>
      <c r="Q14" s="2"/>
    </row>
    <row r="16" spans="2:17">
      <c r="B16" s="27" t="s">
        <v>50</v>
      </c>
      <c r="C16" s="28"/>
      <c r="D16" s="28"/>
      <c r="E16" s="29"/>
    </row>
    <row r="17" spans="2:10">
      <c r="B17" s="30" t="s">
        <v>58</v>
      </c>
      <c r="C17" s="14">
        <f>MIN(C6:C12)</f>
        <v>14488</v>
      </c>
      <c r="D17" s="15">
        <f>MIN(D6:D12)</f>
        <v>1.4418709999999999</v>
      </c>
      <c r="E17" s="31">
        <f>MIN(E6:E12)</f>
        <v>0.134296</v>
      </c>
      <c r="I17" s="3"/>
      <c r="J17" s="3"/>
    </row>
    <row r="18" spans="2:10">
      <c r="B18" s="30" t="s">
        <v>59</v>
      </c>
      <c r="C18" s="11">
        <f>MAX(C6:C12)</f>
        <v>75136</v>
      </c>
      <c r="D18" s="13">
        <f>MAX(D6:D12)</f>
        <v>13.147394</v>
      </c>
      <c r="E18" s="32">
        <f>MAX(E6:E12)</f>
        <v>1.6739040000000001</v>
      </c>
      <c r="I18" s="3"/>
      <c r="J18" s="3"/>
    </row>
    <row r="19" spans="2:10">
      <c r="B19" s="33" t="s">
        <v>60</v>
      </c>
      <c r="C19" s="34">
        <f>C18-C17</f>
        <v>60648</v>
      </c>
      <c r="D19" s="35">
        <f>D18-D17</f>
        <v>11.705522999999999</v>
      </c>
      <c r="E19" s="36">
        <f>E18-E17</f>
        <v>1.5396080000000001</v>
      </c>
      <c r="I19" s="3"/>
      <c r="J19" s="3"/>
    </row>
    <row r="21" spans="2:10">
      <c r="B21" s="1" t="s">
        <v>51</v>
      </c>
    </row>
    <row r="22" spans="2:10">
      <c r="B22" s="1" t="s">
        <v>52</v>
      </c>
    </row>
    <row r="23" spans="2:10">
      <c r="B23" s="1" t="s">
        <v>53</v>
      </c>
    </row>
    <row r="24" spans="2:10">
      <c r="B24" s="1" t="s">
        <v>54</v>
      </c>
    </row>
    <row r="25" spans="2:10">
      <c r="B25" s="1" t="s">
        <v>55</v>
      </c>
    </row>
    <row r="26" spans="2:10">
      <c r="B26" s="1" t="s">
        <v>56</v>
      </c>
    </row>
    <row r="27" spans="2:10">
      <c r="B27" s="1" t="s">
        <v>57</v>
      </c>
    </row>
    <row r="28" spans="2:10">
      <c r="B28" s="1" t="s">
        <v>63</v>
      </c>
    </row>
  </sheetData>
  <mergeCells count="5">
    <mergeCell ref="B16:E16"/>
    <mergeCell ref="B2:Q2"/>
    <mergeCell ref="B4:F4"/>
    <mergeCell ref="H4:J4"/>
    <mergeCell ref="L4:Q4"/>
  </mergeCells>
  <phoneticPr fontId="1" type="noConversion"/>
  <pageMargins left="0.7" right="0.7" top="0.75" bottom="0.75" header="0.3" footer="0.3"/>
  <pageSetup paperSize="9" orientation="portrait" horizontalDpi="4294967292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영화 장르 구하기</vt:lpstr>
      <vt:lpstr>결혼 정보회사 인기도 구하기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</dc:title>
  <dc:creator>권기웅</dc:creator>
  <cp:lastModifiedBy>soldesk1T</cp:lastModifiedBy>
  <dcterms:created xsi:type="dcterms:W3CDTF">2017-07-27T00:00:49Z</dcterms:created>
  <dcterms:modified xsi:type="dcterms:W3CDTF">2018-04-04T02:16:46Z</dcterms:modified>
</cp:coreProperties>
</file>